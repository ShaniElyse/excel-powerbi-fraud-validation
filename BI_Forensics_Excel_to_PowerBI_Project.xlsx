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2205751384a06b1/Desktop/MY STUDIES AND FREELANCE BUSINESS/EXCEL DATA VALIDATION PROJECT/"/>
    </mc:Choice>
  </mc:AlternateContent>
  <xr:revisionPtr revIDLastSave="142" documentId="11_AD93568BBD4D9E7721444D9F10E2451CFA7B0705" xr6:coauthVersionLast="47" xr6:coauthVersionMax="47" xr10:uidLastSave="{8530AB2E-B3F2-4051-A0B2-3ED42D8E8883}"/>
  <bookViews>
    <workbookView xWindow="-110" yWindow="-110" windowWidth="25820" windowHeight="15500" xr2:uid="{00000000-000D-0000-FFFF-FFFF00000000}"/>
  </bookViews>
  <sheets>
    <sheet name="Instructions" sheetId="1" r:id="rId1"/>
    <sheet name="Raw_Data" sheetId="2" r:id="rId2"/>
    <sheet name="Excel_Solution" sheetId="3" r:id="rId3"/>
    <sheet name="Fraud_Only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2" i="3"/>
  <c r="R9" i="3"/>
  <c r="Q9" i="3"/>
  <c r="P9" i="3"/>
  <c r="O9" i="3"/>
  <c r="N9" i="3"/>
  <c r="M9" i="3"/>
  <c r="R8" i="3"/>
  <c r="Q8" i="3"/>
  <c r="P8" i="3"/>
  <c r="O8" i="3"/>
  <c r="N8" i="3"/>
  <c r="M8" i="3"/>
  <c r="R7" i="3"/>
  <c r="Q7" i="3"/>
  <c r="P7" i="3"/>
  <c r="O7" i="3"/>
  <c r="N7" i="3"/>
  <c r="M7" i="3"/>
  <c r="R6" i="3"/>
  <c r="Q6" i="3"/>
  <c r="P6" i="3"/>
  <c r="O6" i="3"/>
  <c r="N6" i="3"/>
  <c r="M6" i="3"/>
  <c r="R5" i="3"/>
  <c r="Q5" i="3"/>
  <c r="P5" i="3"/>
  <c r="O5" i="3"/>
  <c r="N5" i="3"/>
  <c r="M5" i="3"/>
  <c r="S5" i="3" s="1"/>
  <c r="R4" i="3"/>
  <c r="Q4" i="3"/>
  <c r="P4" i="3"/>
  <c r="O4" i="3"/>
  <c r="N4" i="3"/>
  <c r="M4" i="3"/>
  <c r="R3" i="3"/>
  <c r="Q3" i="3"/>
  <c r="P3" i="3"/>
  <c r="O3" i="3"/>
  <c r="N3" i="3"/>
  <c r="M3" i="3"/>
  <c r="S3" i="3" s="1"/>
  <c r="R2" i="3"/>
  <c r="Q2" i="3"/>
  <c r="P2" i="3"/>
  <c r="O2" i="3"/>
  <c r="N2" i="3"/>
  <c r="M2" i="3"/>
  <c r="S2" i="3" s="1"/>
  <c r="S6" i="3" l="1"/>
  <c r="S4" i="3"/>
  <c r="S7" i="3"/>
  <c r="S8" i="3"/>
  <c r="S9" i="3"/>
</calcChain>
</file>

<file path=xl/sharedStrings.xml><?xml version="1.0" encoding="utf-8"?>
<sst xmlns="http://schemas.openxmlformats.org/spreadsheetml/2006/main" count="292" uniqueCount="125">
  <si>
    <t>Sheets:</t>
  </si>
  <si>
    <t>1) Raw_Data: messy HR/payroll/system data</t>
  </si>
  <si>
    <t>2) Excel_Solution: formulas + expected flags (copy/paste friendly)</t>
  </si>
  <si>
    <t>3) Fraud_Only_Data: transactions + logins for fraud/risk analytics</t>
  </si>
  <si>
    <t>4) PowerBI_Comparison: steps to validate Power BI vs Excel</t>
  </si>
  <si>
    <t>Employee_ID</t>
  </si>
  <si>
    <t>Employee_Name</t>
  </si>
  <si>
    <t>Department</t>
  </si>
  <si>
    <t>Hire_Date</t>
  </si>
  <si>
    <t>Termination_Date</t>
  </si>
  <si>
    <t>Hours_Worked</t>
  </si>
  <si>
    <t>Hourly_Rate</t>
  </si>
  <si>
    <t>Overtime_Hours</t>
  </si>
  <si>
    <t>Payroll_Amount</t>
  </si>
  <si>
    <t>Login_Attempts</t>
  </si>
  <si>
    <t>Country</t>
  </si>
  <si>
    <t>Transaction_Count</t>
  </si>
  <si>
    <t>Alex Smith</t>
  </si>
  <si>
    <t>Finance</t>
  </si>
  <si>
    <t>2023-01-15</t>
  </si>
  <si>
    <t>US</t>
  </si>
  <si>
    <t>Jordan Lee</t>
  </si>
  <si>
    <t>HR</t>
  </si>
  <si>
    <t>2022-06-01</t>
  </si>
  <si>
    <t>Chris Patel</t>
  </si>
  <si>
    <t>IT</t>
  </si>
  <si>
    <t>2024-02-01</t>
  </si>
  <si>
    <t>2023-12-31</t>
  </si>
  <si>
    <t>Taylor Brown</t>
  </si>
  <si>
    <t>Operations</t>
  </si>
  <si>
    <t>2021-09-10</t>
  </si>
  <si>
    <t>Morgan Davis</t>
  </si>
  <si>
    <t>2020-03-20</t>
  </si>
  <si>
    <t>NG</t>
  </si>
  <si>
    <t>Jamie Chen</t>
  </si>
  <si>
    <t>2023-11-01</t>
  </si>
  <si>
    <t>Riley Gomez</t>
  </si>
  <si>
    <t>2022-02-14</t>
  </si>
  <si>
    <t>2022-01-01</t>
  </si>
  <si>
    <t>Duplicate_Flag</t>
  </si>
  <si>
    <t>Invalid_Dates</t>
  </si>
  <si>
    <t>Negative_Values</t>
  </si>
  <si>
    <t>Overtime_Issue</t>
  </si>
  <si>
    <t>High_Login_Attempts</t>
  </si>
  <si>
    <t>Foreign_Activity_Flag</t>
  </si>
  <si>
    <t>Needs_Review</t>
  </si>
  <si>
    <t>Issue_Summary</t>
  </si>
  <si>
    <t>Txn_ID</t>
  </si>
  <si>
    <t>Event_Time</t>
  </si>
  <si>
    <t>User_ID</t>
  </si>
  <si>
    <t>Account_Age_Days</t>
  </si>
  <si>
    <t>Device_ID</t>
  </si>
  <si>
    <t>IP_Address</t>
  </si>
  <si>
    <t>Merchant</t>
  </si>
  <si>
    <t>Amount</t>
  </si>
  <si>
    <t>Txn_Type</t>
  </si>
  <si>
    <t>Payment_Method</t>
  </si>
  <si>
    <t>Card_Present</t>
  </si>
  <si>
    <t>Failed_Login_24h</t>
  </si>
  <si>
    <t>Login_Country_Mismatch</t>
  </si>
  <si>
    <t>Velocity_1h</t>
  </si>
  <si>
    <t>Chargeback_Flag</t>
  </si>
  <si>
    <t>Known_Risky_Merchant</t>
  </si>
  <si>
    <t>Outcome</t>
  </si>
  <si>
    <t>T10001</t>
  </si>
  <si>
    <t>2026-01-12 09:15</t>
  </si>
  <si>
    <t>U2001</t>
  </si>
  <si>
    <t>D901</t>
  </si>
  <si>
    <t>45.33.10.8</t>
  </si>
  <si>
    <t>GroceryMart</t>
  </si>
  <si>
    <t>purchase</t>
  </si>
  <si>
    <t>card</t>
  </si>
  <si>
    <t>Y</t>
  </si>
  <si>
    <t>N</t>
  </si>
  <si>
    <t>approved</t>
  </si>
  <si>
    <t>T10002</t>
  </si>
  <si>
    <t>2026-01-12 09:18</t>
  </si>
  <si>
    <t>T10003</t>
  </si>
  <si>
    <t>2026-01-12 09:22</t>
  </si>
  <si>
    <t>ElectroHub</t>
  </si>
  <si>
    <t>chargeback</t>
  </si>
  <si>
    <t>T10004</t>
  </si>
  <si>
    <t>2026-01-18 02:03</t>
  </si>
  <si>
    <t>U2010</t>
  </si>
  <si>
    <t>D777</t>
  </si>
  <si>
    <t>103.21.55.2</t>
  </si>
  <si>
    <t>GiftCardsNow</t>
  </si>
  <si>
    <t>T10005</t>
  </si>
  <si>
    <t>2026-01-18 02:05</t>
  </si>
  <si>
    <t>T10006</t>
  </si>
  <si>
    <t>2026-01-20 14:11</t>
  </si>
  <si>
    <t>U3050</t>
  </si>
  <si>
    <t>D882</t>
  </si>
  <si>
    <t>72.11.90.1</t>
  </si>
  <si>
    <t>StreamingPlus</t>
  </si>
  <si>
    <t>subscription</t>
  </si>
  <si>
    <t>T10007</t>
  </si>
  <si>
    <t>2026-01-22 23:54</t>
  </si>
  <si>
    <t>U4002</t>
  </si>
  <si>
    <t>D200</t>
  </si>
  <si>
    <t>199.4.12.9</t>
  </si>
  <si>
    <t>TravelQuick</t>
  </si>
  <si>
    <t>declined</t>
  </si>
  <si>
    <t>T10008</t>
  </si>
  <si>
    <t>2026-01-23 00:01</t>
  </si>
  <si>
    <t>T10009</t>
  </si>
  <si>
    <t>2026-01-25 11:40</t>
  </si>
  <si>
    <t>U5100</t>
  </si>
  <si>
    <t>D120</t>
  </si>
  <si>
    <t>10.10.10.10</t>
  </si>
  <si>
    <t>PharmaDirect</t>
  </si>
  <si>
    <t>ach</t>
  </si>
  <si>
    <t>T10010</t>
  </si>
  <si>
    <t>2026-01-25 11:41</t>
  </si>
  <si>
    <t>refund</t>
  </si>
  <si>
    <t>T10011</t>
  </si>
  <si>
    <t>2026-01-30 03:12</t>
  </si>
  <si>
    <t>U9999</t>
  </si>
  <si>
    <t>D333</t>
  </si>
  <si>
    <t>185.44.3.77</t>
  </si>
  <si>
    <t>RU</t>
  </si>
  <si>
    <t>CryptoTopUp</t>
  </si>
  <si>
    <t>T10012</t>
  </si>
  <si>
    <t>2026-01-30 03:14</t>
  </si>
  <si>
    <t>Excel Validation → Fraud Dataset → Power BI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</si>
</sst>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L9">
  <autoFilter ref="A1:L9" xr:uid="{00000000-0009-0000-0100-000001000000}"/>
  <tableColumns count="12">
    <tableColumn id="1" xr3:uid="{00000000-0010-0000-0000-000001000000}" name="Employee_ID"/>
    <tableColumn id="2" xr3:uid="{00000000-0010-0000-0000-000002000000}" name="Employee_Name"/>
    <tableColumn id="3" xr3:uid="{00000000-0010-0000-0000-000003000000}" name="Department"/>
    <tableColumn id="4" xr3:uid="{00000000-0010-0000-0000-000004000000}" name="Hire_Date"/>
    <tableColumn id="5" xr3:uid="{00000000-0010-0000-0000-000005000000}" name="Termination_Date"/>
    <tableColumn id="6" xr3:uid="{00000000-0010-0000-0000-000006000000}" name="Hours_Worked"/>
    <tableColumn id="7" xr3:uid="{00000000-0010-0000-0000-000007000000}" name="Hourly_Rate"/>
    <tableColumn id="8" xr3:uid="{00000000-0010-0000-0000-000008000000}" name="Overtime_Hours"/>
    <tableColumn id="9" xr3:uid="{00000000-0010-0000-0000-000009000000}" name="Payroll_Amount"/>
    <tableColumn id="10" xr3:uid="{00000000-0010-0000-0000-00000A000000}" name="Login_Attempts"/>
    <tableColumn id="11" xr3:uid="{00000000-0010-0000-0000-00000B000000}" name="Country"/>
    <tableColumn id="12" xr3:uid="{00000000-0010-0000-0000-00000C000000}" name="Transaction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udData" displayName="FraudData" ref="A1:R13">
  <autoFilter ref="A1:R13" xr:uid="{00000000-0009-0000-0100-000002000000}"/>
  <tableColumns count="18">
    <tableColumn id="1" xr3:uid="{00000000-0010-0000-0100-000001000000}" name="Txn_ID"/>
    <tableColumn id="2" xr3:uid="{00000000-0010-0000-0100-000002000000}" name="Event_Time"/>
    <tableColumn id="3" xr3:uid="{00000000-0010-0000-0100-000003000000}" name="User_ID"/>
    <tableColumn id="4" xr3:uid="{00000000-0010-0000-0100-000004000000}" name="Account_Age_Days"/>
    <tableColumn id="5" xr3:uid="{00000000-0010-0000-0100-000005000000}" name="Device_ID"/>
    <tableColumn id="6" xr3:uid="{00000000-0010-0000-0100-000006000000}" name="IP_Address"/>
    <tableColumn id="7" xr3:uid="{00000000-0010-0000-0100-000007000000}" name="Country"/>
    <tableColumn id="8" xr3:uid="{00000000-0010-0000-0100-000008000000}" name="Merchant"/>
    <tableColumn id="9" xr3:uid="{00000000-0010-0000-0100-000009000000}" name="Amount"/>
    <tableColumn id="10" xr3:uid="{00000000-0010-0000-0100-00000A000000}" name="Txn_Type"/>
    <tableColumn id="11" xr3:uid="{00000000-0010-0000-0100-00000B000000}" name="Payment_Method"/>
    <tableColumn id="12" xr3:uid="{00000000-0010-0000-0100-00000C000000}" name="Card_Present"/>
    <tableColumn id="13" xr3:uid="{00000000-0010-0000-0100-00000D000000}" name="Failed_Login_24h"/>
    <tableColumn id="14" xr3:uid="{00000000-0010-0000-0100-00000E000000}" name="Login_Country_Mismatch"/>
    <tableColumn id="15" xr3:uid="{00000000-0010-0000-0100-00000F000000}" name="Velocity_1h"/>
    <tableColumn id="16" xr3:uid="{00000000-0010-0000-0100-000010000000}" name="Chargeback_Flag"/>
    <tableColumn id="17" xr3:uid="{00000000-0010-0000-0100-000011000000}" name="Known_Risky_Merchant"/>
    <tableColumn id="18" xr3:uid="{00000000-0010-0000-0100-000012000000}" name="Outc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10" zoomScaleNormal="110" workbookViewId="0">
      <selection activeCell="A8" sqref="A8"/>
    </sheetView>
  </sheetViews>
  <sheetFormatPr defaultRowHeight="14.5" x14ac:dyDescent="0.35"/>
  <sheetData>
    <row r="1" spans="1:7" x14ac:dyDescent="0.35">
      <c r="A1" s="1" t="s">
        <v>124</v>
      </c>
      <c r="B1" s="1"/>
      <c r="C1" s="1"/>
      <c r="D1" s="1"/>
      <c r="E1" s="1"/>
      <c r="F1" s="1"/>
      <c r="G1" s="1"/>
    </row>
    <row r="3" spans="1:7" x14ac:dyDescent="0.35">
      <c r="A3" s="1" t="s">
        <v>0</v>
      </c>
    </row>
    <row r="4" spans="1:7" x14ac:dyDescent="0.35">
      <c r="A4" t="s">
        <v>1</v>
      </c>
    </row>
    <row r="5" spans="1:7" x14ac:dyDescent="0.35">
      <c r="A5" t="s">
        <v>2</v>
      </c>
    </row>
    <row r="6" spans="1:7" x14ac:dyDescent="0.35">
      <c r="A6" t="s">
        <v>3</v>
      </c>
    </row>
    <row r="7" spans="1:7" x14ac:dyDescent="0.35">
      <c r="A7" t="s">
        <v>4</v>
      </c>
    </row>
    <row r="10" spans="1:7" x14ac:dyDescent="0.35">
      <c r="A10" s="2"/>
      <c r="B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zoomScale="110" zoomScaleNormal="110" workbookViewId="0">
      <selection activeCell="B12" sqref="B12"/>
    </sheetView>
  </sheetViews>
  <sheetFormatPr defaultRowHeight="14.5" x14ac:dyDescent="0.35"/>
  <cols>
    <col min="1" max="1" width="17.1796875" customWidth="1"/>
    <col min="2" max="2" width="21.26953125" customWidth="1"/>
    <col min="3" max="3" width="13" customWidth="1"/>
    <col min="4" max="4" width="19.6328125" customWidth="1"/>
    <col min="5" max="5" width="19.453125" customWidth="1"/>
    <col min="6" max="6" width="19.6328125" customWidth="1"/>
    <col min="7" max="7" width="16.453125" customWidth="1"/>
    <col min="8" max="8" width="18.36328125" customWidth="1"/>
    <col min="9" max="9" width="20.90625" customWidth="1"/>
    <col min="10" max="10" width="17.1796875" customWidth="1"/>
    <col min="11" max="11" width="12.1796875" customWidth="1"/>
    <col min="12" max="12" width="20.6328125" customWidth="1"/>
  </cols>
  <sheetData>
    <row r="1" spans="1:12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5">
      <c r="A2">
        <v>1001</v>
      </c>
      <c r="B2" t="s">
        <v>17</v>
      </c>
      <c r="C2" t="s">
        <v>18</v>
      </c>
      <c r="D2" t="s">
        <v>19</v>
      </c>
      <c r="F2">
        <v>40</v>
      </c>
      <c r="G2">
        <v>35</v>
      </c>
      <c r="H2">
        <v>5</v>
      </c>
      <c r="I2">
        <v>1750</v>
      </c>
      <c r="J2">
        <v>3</v>
      </c>
      <c r="K2" t="s">
        <v>20</v>
      </c>
      <c r="L2">
        <v>12</v>
      </c>
    </row>
    <row r="3" spans="1:12" x14ac:dyDescent="0.35">
      <c r="A3">
        <v>1002</v>
      </c>
      <c r="B3" t="s">
        <v>21</v>
      </c>
      <c r="C3" t="s">
        <v>22</v>
      </c>
      <c r="D3" t="s">
        <v>23</v>
      </c>
      <c r="F3">
        <v>0</v>
      </c>
      <c r="G3">
        <v>30</v>
      </c>
      <c r="H3">
        <v>10</v>
      </c>
      <c r="I3">
        <v>300</v>
      </c>
      <c r="J3">
        <v>25</v>
      </c>
      <c r="K3" t="s">
        <v>20</v>
      </c>
      <c r="L3">
        <v>0</v>
      </c>
    </row>
    <row r="4" spans="1:12" x14ac:dyDescent="0.35">
      <c r="A4">
        <v>1003</v>
      </c>
      <c r="B4" t="s">
        <v>24</v>
      </c>
      <c r="C4" t="s">
        <v>25</v>
      </c>
      <c r="D4" t="s">
        <v>26</v>
      </c>
      <c r="E4" t="s">
        <v>27</v>
      </c>
      <c r="F4">
        <v>38</v>
      </c>
      <c r="G4">
        <v>40</v>
      </c>
      <c r="H4">
        <v>0</v>
      </c>
      <c r="I4">
        <v>1520</v>
      </c>
      <c r="J4">
        <v>2</v>
      </c>
      <c r="K4" t="s">
        <v>20</v>
      </c>
      <c r="L4">
        <v>8</v>
      </c>
    </row>
    <row r="5" spans="1:12" x14ac:dyDescent="0.35">
      <c r="A5">
        <v>1004</v>
      </c>
      <c r="B5" t="s">
        <v>28</v>
      </c>
      <c r="C5" t="s">
        <v>29</v>
      </c>
      <c r="D5" t="s">
        <v>30</v>
      </c>
      <c r="F5">
        <v>-5</v>
      </c>
      <c r="G5">
        <v>28</v>
      </c>
      <c r="H5">
        <v>0</v>
      </c>
      <c r="I5">
        <v>-140</v>
      </c>
      <c r="J5">
        <v>1</v>
      </c>
      <c r="K5" t="s">
        <v>20</v>
      </c>
      <c r="L5">
        <v>4</v>
      </c>
    </row>
    <row r="6" spans="1:12" x14ac:dyDescent="0.35">
      <c r="A6">
        <v>1005</v>
      </c>
      <c r="B6" t="s">
        <v>31</v>
      </c>
      <c r="C6" t="s">
        <v>18</v>
      </c>
      <c r="D6" t="s">
        <v>32</v>
      </c>
      <c r="F6">
        <v>45</v>
      </c>
      <c r="G6">
        <v>50</v>
      </c>
      <c r="H6">
        <v>20</v>
      </c>
      <c r="I6">
        <v>3500</v>
      </c>
      <c r="J6">
        <v>40</v>
      </c>
      <c r="K6" t="s">
        <v>33</v>
      </c>
      <c r="L6">
        <v>22</v>
      </c>
    </row>
    <row r="7" spans="1:12" x14ac:dyDescent="0.35">
      <c r="A7">
        <v>1005</v>
      </c>
      <c r="B7" t="s">
        <v>31</v>
      </c>
      <c r="C7" t="s">
        <v>18</v>
      </c>
      <c r="D7" t="s">
        <v>32</v>
      </c>
      <c r="F7">
        <v>45</v>
      </c>
      <c r="G7">
        <v>50</v>
      </c>
      <c r="H7">
        <v>20</v>
      </c>
      <c r="I7">
        <v>3500</v>
      </c>
      <c r="J7">
        <v>40</v>
      </c>
      <c r="K7" t="s">
        <v>33</v>
      </c>
      <c r="L7">
        <v>22</v>
      </c>
    </row>
    <row r="8" spans="1:12" x14ac:dyDescent="0.35">
      <c r="A8">
        <v>1006</v>
      </c>
      <c r="B8" t="s">
        <v>34</v>
      </c>
      <c r="C8" t="s">
        <v>25</v>
      </c>
      <c r="D8" t="s">
        <v>35</v>
      </c>
      <c r="F8">
        <v>41</v>
      </c>
      <c r="G8">
        <v>45</v>
      </c>
      <c r="H8">
        <v>2</v>
      </c>
      <c r="I8">
        <v>1890</v>
      </c>
      <c r="J8">
        <v>0</v>
      </c>
      <c r="K8" t="s">
        <v>20</v>
      </c>
      <c r="L8">
        <v>9</v>
      </c>
    </row>
    <row r="9" spans="1:12" x14ac:dyDescent="0.35">
      <c r="A9">
        <v>1007</v>
      </c>
      <c r="B9" t="s">
        <v>36</v>
      </c>
      <c r="C9" t="s">
        <v>22</v>
      </c>
      <c r="D9" t="s">
        <v>37</v>
      </c>
      <c r="E9" t="s">
        <v>38</v>
      </c>
      <c r="F9">
        <v>40</v>
      </c>
      <c r="G9">
        <v>32</v>
      </c>
      <c r="H9">
        <v>0</v>
      </c>
      <c r="I9">
        <v>1280</v>
      </c>
      <c r="J9">
        <v>6</v>
      </c>
      <c r="K9" t="s">
        <v>20</v>
      </c>
      <c r="L9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zoomScale="110" zoomScaleNormal="110" workbookViewId="0">
      <selection activeCell="A10" sqref="A10"/>
    </sheetView>
  </sheetViews>
  <sheetFormatPr defaultRowHeight="14.5" x14ac:dyDescent="0.35"/>
  <cols>
    <col min="1" max="1" width="14.26953125" customWidth="1"/>
    <col min="2" max="2" width="16.81640625" customWidth="1"/>
    <col min="3" max="3" width="13.26953125" customWidth="1"/>
    <col min="4" max="4" width="15.1796875" customWidth="1"/>
    <col min="5" max="5" width="18" customWidth="1"/>
    <col min="6" max="6" width="16.81640625" customWidth="1"/>
    <col min="7" max="7" width="15.36328125" customWidth="1"/>
    <col min="8" max="8" width="15.6328125" customWidth="1"/>
    <col min="9" max="9" width="18.54296875" customWidth="1"/>
    <col min="10" max="10" width="17.7265625" customWidth="1"/>
    <col min="12" max="12" width="16.81640625" customWidth="1"/>
    <col min="13" max="13" width="16.453125" customWidth="1"/>
    <col min="14" max="14" width="15.1796875" customWidth="1"/>
    <col min="15" max="15" width="15.36328125" customWidth="1"/>
    <col min="16" max="16" width="15.6328125" customWidth="1"/>
    <col min="17" max="17" width="14.6328125" customWidth="1"/>
    <col min="18" max="18" width="20.7265625" customWidth="1"/>
    <col min="19" max="19" width="14.6328125" customWidth="1"/>
    <col min="20" max="20" width="45.7265625" customWidth="1"/>
  </cols>
  <sheetData>
    <row r="1" spans="1:20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5">
      <c r="A2">
        <v>1001</v>
      </c>
      <c r="B2" t="s">
        <v>17</v>
      </c>
      <c r="C2" t="s">
        <v>18</v>
      </c>
      <c r="D2" t="s">
        <v>19</v>
      </c>
      <c r="F2">
        <v>40</v>
      </c>
      <c r="G2">
        <v>35</v>
      </c>
      <c r="H2">
        <v>5</v>
      </c>
      <c r="I2">
        <v>1750</v>
      </c>
      <c r="J2">
        <v>3</v>
      </c>
      <c r="K2" t="s">
        <v>20</v>
      </c>
      <c r="L2">
        <v>12</v>
      </c>
      <c r="M2" t="b">
        <f t="shared" ref="M2:M9" si="0">IF(COUNTIF($A:$A,$A2)&gt;1,TRUE,FALSE)</f>
        <v>0</v>
      </c>
      <c r="N2" t="b">
        <f t="shared" ref="N2:N9" si="1">IF(AND($E2&lt;&gt;"",$E2&lt;$D2),TRUE,FALSE)</f>
        <v>0</v>
      </c>
      <c r="O2" t="b">
        <f t="shared" ref="O2:O9" si="2">IF(OR($F2&lt;0,$G2&lt;0,$I2&lt;0),TRUE,FALSE)</f>
        <v>0</v>
      </c>
      <c r="P2" t="b">
        <f t="shared" ref="P2:P9" si="3">IF(AND($H2&gt;0,$F2=0),TRUE,FALSE)</f>
        <v>0</v>
      </c>
      <c r="Q2" t="b">
        <f t="shared" ref="Q2:Q9" si="4">IF($J2&gt;15,TRUE,FALSE)</f>
        <v>0</v>
      </c>
      <c r="R2" t="b">
        <f t="shared" ref="R2:R9" si="5">IF(AND($K2&lt;&gt;"US",OR($J2&gt;10,$L2&gt;10)),TRUE,FALSE)</f>
        <v>0</v>
      </c>
      <c r="S2" t="b">
        <f t="shared" ref="S2:S9" si="6">OR(M2,N2,O2,P2,Q2,R2)</f>
        <v>0</v>
      </c>
      <c r="T2" t="str">
        <f>_xlfn.TEXTJOIN("; ",TRUE,
 IF(M2,"duplicate id",""),
 IF(N2,"termination&lt;hire",""),
 IF(O2,"negative value",""),
 IF(P2,"overtime w/0 hours",""),
 IF(Q2,"high login attempts",""),
 IF(R2,"foreign risk signal","")
)</f>
        <v/>
      </c>
    </row>
    <row r="3" spans="1:20" x14ac:dyDescent="0.35">
      <c r="A3">
        <v>1002</v>
      </c>
      <c r="B3" t="s">
        <v>21</v>
      </c>
      <c r="C3" t="s">
        <v>22</v>
      </c>
      <c r="D3" t="s">
        <v>23</v>
      </c>
      <c r="F3">
        <v>0</v>
      </c>
      <c r="G3">
        <v>30</v>
      </c>
      <c r="H3">
        <v>10</v>
      </c>
      <c r="I3">
        <v>300</v>
      </c>
      <c r="J3">
        <v>25</v>
      </c>
      <c r="K3" t="s">
        <v>20</v>
      </c>
      <c r="L3">
        <v>0</v>
      </c>
      <c r="M3" t="b">
        <f t="shared" si="0"/>
        <v>0</v>
      </c>
      <c r="N3" t="b">
        <f t="shared" si="1"/>
        <v>0</v>
      </c>
      <c r="O3" t="b">
        <f t="shared" si="2"/>
        <v>0</v>
      </c>
      <c r="P3" t="b">
        <f t="shared" si="3"/>
        <v>1</v>
      </c>
      <c r="Q3" t="b">
        <f t="shared" si="4"/>
        <v>1</v>
      </c>
      <c r="R3" t="b">
        <f t="shared" si="5"/>
        <v>0</v>
      </c>
      <c r="S3" t="b">
        <f t="shared" si="6"/>
        <v>1</v>
      </c>
      <c r="T3" t="str">
        <f t="shared" ref="T3:T9" si="7">_xlfn.TEXTJOIN("; ",TRUE,
 IF(M3,"duplicate id",""),
 IF(N3,"termination&lt;hire",""),
 IF(O3,"negative value",""),
 IF(P3,"overtime w/0 hours",""),
 IF(Q3,"high login attempts",""),
 IF(R3,"foreign risk signal","")
)</f>
        <v>overtime w/0 hours; high login attempts</v>
      </c>
    </row>
    <row r="4" spans="1:20" x14ac:dyDescent="0.35">
      <c r="A4">
        <v>1003</v>
      </c>
      <c r="B4" t="s">
        <v>24</v>
      </c>
      <c r="C4" t="s">
        <v>25</v>
      </c>
      <c r="D4" t="s">
        <v>26</v>
      </c>
      <c r="E4" t="s">
        <v>27</v>
      </c>
      <c r="F4">
        <v>38</v>
      </c>
      <c r="G4">
        <v>40</v>
      </c>
      <c r="H4">
        <v>0</v>
      </c>
      <c r="I4">
        <v>1520</v>
      </c>
      <c r="J4">
        <v>2</v>
      </c>
      <c r="K4" t="s">
        <v>20</v>
      </c>
      <c r="L4">
        <v>8</v>
      </c>
      <c r="M4" t="b">
        <f t="shared" si="0"/>
        <v>0</v>
      </c>
      <c r="N4" t="b">
        <f t="shared" si="1"/>
        <v>1</v>
      </c>
      <c r="O4" t="b">
        <f t="shared" si="2"/>
        <v>0</v>
      </c>
      <c r="P4" t="b">
        <f t="shared" si="3"/>
        <v>0</v>
      </c>
      <c r="Q4" t="b">
        <f t="shared" si="4"/>
        <v>0</v>
      </c>
      <c r="R4" t="b">
        <f t="shared" si="5"/>
        <v>0</v>
      </c>
      <c r="S4" t="b">
        <f t="shared" si="6"/>
        <v>1</v>
      </c>
      <c r="T4" t="str">
        <f t="shared" si="7"/>
        <v>termination&lt;hire</v>
      </c>
    </row>
    <row r="5" spans="1:20" x14ac:dyDescent="0.35">
      <c r="A5">
        <v>1004</v>
      </c>
      <c r="B5" t="s">
        <v>28</v>
      </c>
      <c r="C5" t="s">
        <v>29</v>
      </c>
      <c r="D5" t="s">
        <v>30</v>
      </c>
      <c r="F5">
        <v>-5</v>
      </c>
      <c r="G5">
        <v>28</v>
      </c>
      <c r="H5">
        <v>0</v>
      </c>
      <c r="I5">
        <v>-140</v>
      </c>
      <c r="J5">
        <v>1</v>
      </c>
      <c r="K5" t="s">
        <v>20</v>
      </c>
      <c r="L5">
        <v>4</v>
      </c>
      <c r="M5" t="b">
        <f t="shared" si="0"/>
        <v>0</v>
      </c>
      <c r="N5" t="b">
        <f t="shared" si="1"/>
        <v>0</v>
      </c>
      <c r="O5" t="b">
        <f t="shared" si="2"/>
        <v>1</v>
      </c>
      <c r="P5" t="b">
        <f t="shared" si="3"/>
        <v>0</v>
      </c>
      <c r="Q5" t="b">
        <f t="shared" si="4"/>
        <v>0</v>
      </c>
      <c r="R5" t="b">
        <f t="shared" si="5"/>
        <v>0</v>
      </c>
      <c r="S5" t="b">
        <f t="shared" si="6"/>
        <v>1</v>
      </c>
      <c r="T5" t="str">
        <f t="shared" si="7"/>
        <v>negative value</v>
      </c>
    </row>
    <row r="6" spans="1:20" x14ac:dyDescent="0.35">
      <c r="A6">
        <v>1005</v>
      </c>
      <c r="B6" t="s">
        <v>31</v>
      </c>
      <c r="C6" t="s">
        <v>18</v>
      </c>
      <c r="D6" t="s">
        <v>32</v>
      </c>
      <c r="F6">
        <v>45</v>
      </c>
      <c r="G6">
        <v>50</v>
      </c>
      <c r="H6">
        <v>20</v>
      </c>
      <c r="I6">
        <v>3500</v>
      </c>
      <c r="J6">
        <v>40</v>
      </c>
      <c r="K6" t="s">
        <v>33</v>
      </c>
      <c r="L6">
        <v>22</v>
      </c>
      <c r="M6" t="b">
        <f t="shared" si="0"/>
        <v>1</v>
      </c>
      <c r="N6" t="b">
        <f t="shared" si="1"/>
        <v>0</v>
      </c>
      <c r="O6" t="b">
        <f t="shared" si="2"/>
        <v>0</v>
      </c>
      <c r="P6" t="b">
        <f t="shared" si="3"/>
        <v>0</v>
      </c>
      <c r="Q6" t="b">
        <f t="shared" si="4"/>
        <v>1</v>
      </c>
      <c r="R6" t="b">
        <f t="shared" si="5"/>
        <v>1</v>
      </c>
      <c r="S6" t="b">
        <f t="shared" si="6"/>
        <v>1</v>
      </c>
      <c r="T6" t="str">
        <f t="shared" si="7"/>
        <v>duplicate id; high login attempts; foreign risk signal</v>
      </c>
    </row>
    <row r="7" spans="1:20" x14ac:dyDescent="0.35">
      <c r="A7">
        <v>1005</v>
      </c>
      <c r="B7" t="s">
        <v>31</v>
      </c>
      <c r="C7" t="s">
        <v>18</v>
      </c>
      <c r="D7" t="s">
        <v>32</v>
      </c>
      <c r="F7">
        <v>45</v>
      </c>
      <c r="G7">
        <v>50</v>
      </c>
      <c r="H7">
        <v>20</v>
      </c>
      <c r="I7">
        <v>3500</v>
      </c>
      <c r="J7">
        <v>40</v>
      </c>
      <c r="K7" t="s">
        <v>33</v>
      </c>
      <c r="L7">
        <v>22</v>
      </c>
      <c r="M7" t="b">
        <f t="shared" si="0"/>
        <v>1</v>
      </c>
      <c r="N7" t="b">
        <f t="shared" si="1"/>
        <v>0</v>
      </c>
      <c r="O7" t="b">
        <f t="shared" si="2"/>
        <v>0</v>
      </c>
      <c r="P7" t="b">
        <f t="shared" si="3"/>
        <v>0</v>
      </c>
      <c r="Q7" t="b">
        <f t="shared" si="4"/>
        <v>1</v>
      </c>
      <c r="R7" t="b">
        <f t="shared" si="5"/>
        <v>1</v>
      </c>
      <c r="S7" t="b">
        <f t="shared" si="6"/>
        <v>1</v>
      </c>
      <c r="T7" t="str">
        <f t="shared" si="7"/>
        <v>duplicate id; high login attempts; foreign risk signal</v>
      </c>
    </row>
    <row r="8" spans="1:20" x14ac:dyDescent="0.35">
      <c r="A8">
        <v>1006</v>
      </c>
      <c r="B8" t="s">
        <v>34</v>
      </c>
      <c r="C8" t="s">
        <v>25</v>
      </c>
      <c r="D8" t="s">
        <v>35</v>
      </c>
      <c r="F8">
        <v>41</v>
      </c>
      <c r="G8">
        <v>45</v>
      </c>
      <c r="H8">
        <v>2</v>
      </c>
      <c r="I8">
        <v>1890</v>
      </c>
      <c r="J8">
        <v>0</v>
      </c>
      <c r="K8" t="s">
        <v>20</v>
      </c>
      <c r="L8">
        <v>9</v>
      </c>
      <c r="M8" t="b">
        <f t="shared" si="0"/>
        <v>0</v>
      </c>
      <c r="N8" t="b">
        <f t="shared" si="1"/>
        <v>0</v>
      </c>
      <c r="O8" t="b">
        <f t="shared" si="2"/>
        <v>0</v>
      </c>
      <c r="P8" t="b">
        <f t="shared" si="3"/>
        <v>0</v>
      </c>
      <c r="Q8" t="b">
        <f t="shared" si="4"/>
        <v>0</v>
      </c>
      <c r="R8" t="b">
        <f t="shared" si="5"/>
        <v>0</v>
      </c>
      <c r="S8" t="b">
        <f t="shared" si="6"/>
        <v>0</v>
      </c>
      <c r="T8" t="str">
        <f t="shared" si="7"/>
        <v/>
      </c>
    </row>
    <row r="9" spans="1:20" x14ac:dyDescent="0.35">
      <c r="A9">
        <v>1007</v>
      </c>
      <c r="B9" t="s">
        <v>36</v>
      </c>
      <c r="C9" t="s">
        <v>22</v>
      </c>
      <c r="D9" t="s">
        <v>37</v>
      </c>
      <c r="E9" t="s">
        <v>38</v>
      </c>
      <c r="F9">
        <v>40</v>
      </c>
      <c r="G9">
        <v>32</v>
      </c>
      <c r="H9">
        <v>0</v>
      </c>
      <c r="I9">
        <v>1280</v>
      </c>
      <c r="J9">
        <v>6</v>
      </c>
      <c r="K9" t="s">
        <v>20</v>
      </c>
      <c r="L9">
        <v>5</v>
      </c>
      <c r="M9" t="b">
        <f t="shared" si="0"/>
        <v>0</v>
      </c>
      <c r="N9" t="b">
        <f t="shared" si="1"/>
        <v>1</v>
      </c>
      <c r="O9" t="b">
        <f t="shared" si="2"/>
        <v>0</v>
      </c>
      <c r="P9" t="b">
        <f t="shared" si="3"/>
        <v>0</v>
      </c>
      <c r="Q9" t="b">
        <f t="shared" si="4"/>
        <v>0</v>
      </c>
      <c r="R9" t="b">
        <f t="shared" si="5"/>
        <v>0</v>
      </c>
      <c r="S9" t="b">
        <f t="shared" si="6"/>
        <v>1</v>
      </c>
      <c r="T9" t="str">
        <f t="shared" si="7"/>
        <v>termination&lt;hire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zoomScale="110" zoomScaleNormal="110" workbookViewId="0">
      <selection activeCell="K28" sqref="K28"/>
    </sheetView>
  </sheetViews>
  <sheetFormatPr defaultRowHeight="14.5" x14ac:dyDescent="0.35"/>
  <cols>
    <col min="1" max="1" width="17.6328125" customWidth="1"/>
    <col min="2" max="2" width="18.90625" customWidth="1"/>
    <col min="3" max="3" width="17" customWidth="1"/>
    <col min="4" max="4" width="19.81640625" customWidth="1"/>
    <col min="5" max="5" width="18.54296875" customWidth="1"/>
    <col min="6" max="6" width="16.90625" customWidth="1"/>
    <col min="7" max="7" width="12.6328125" customWidth="1"/>
    <col min="8" max="9" width="17.36328125" customWidth="1"/>
    <col min="10" max="10" width="16.1796875" customWidth="1"/>
    <col min="11" max="11" width="21.90625" customWidth="1"/>
    <col min="12" max="12" width="19.54296875" customWidth="1"/>
    <col min="13" max="13" width="21.453125" customWidth="1"/>
    <col min="14" max="14" width="25" customWidth="1"/>
    <col min="15" max="15" width="13.453125" customWidth="1"/>
    <col min="16" max="16" width="18.36328125" customWidth="1"/>
    <col min="17" max="17" width="23.26953125" customWidth="1"/>
    <col min="18" max="18" width="26.1796875" customWidth="1"/>
  </cols>
  <sheetData>
    <row r="1" spans="1:18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15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5">
      <c r="A2" t="s">
        <v>64</v>
      </c>
      <c r="B2" t="s">
        <v>65</v>
      </c>
      <c r="C2" t="s">
        <v>66</v>
      </c>
      <c r="D2">
        <v>420</v>
      </c>
      <c r="E2" t="s">
        <v>67</v>
      </c>
      <c r="F2" t="s">
        <v>68</v>
      </c>
      <c r="G2" t="s">
        <v>20</v>
      </c>
      <c r="H2" t="s">
        <v>69</v>
      </c>
      <c r="I2">
        <v>82.15</v>
      </c>
      <c r="J2" t="s">
        <v>70</v>
      </c>
      <c r="K2" t="s">
        <v>71</v>
      </c>
      <c r="L2" t="s">
        <v>72</v>
      </c>
      <c r="M2">
        <v>0</v>
      </c>
      <c r="N2" t="s">
        <v>73</v>
      </c>
      <c r="O2">
        <v>1</v>
      </c>
      <c r="P2" t="s">
        <v>73</v>
      </c>
      <c r="Q2" t="s">
        <v>73</v>
      </c>
      <c r="R2" t="s">
        <v>74</v>
      </c>
    </row>
    <row r="3" spans="1:18" x14ac:dyDescent="0.35">
      <c r="A3" t="s">
        <v>75</v>
      </c>
      <c r="B3" t="s">
        <v>76</v>
      </c>
      <c r="C3" t="s">
        <v>66</v>
      </c>
      <c r="D3">
        <v>420</v>
      </c>
      <c r="E3" t="s">
        <v>67</v>
      </c>
      <c r="F3" t="s">
        <v>68</v>
      </c>
      <c r="G3" t="s">
        <v>20</v>
      </c>
      <c r="H3" t="s">
        <v>69</v>
      </c>
      <c r="I3">
        <v>79.900000000000006</v>
      </c>
      <c r="J3" t="s">
        <v>70</v>
      </c>
      <c r="K3" t="s">
        <v>71</v>
      </c>
      <c r="L3" t="s">
        <v>72</v>
      </c>
      <c r="M3">
        <v>0</v>
      </c>
      <c r="N3" t="s">
        <v>73</v>
      </c>
      <c r="O3">
        <v>2</v>
      </c>
      <c r="P3" t="s">
        <v>73</v>
      </c>
      <c r="Q3" t="s">
        <v>73</v>
      </c>
      <c r="R3" t="s">
        <v>74</v>
      </c>
    </row>
    <row r="4" spans="1:18" x14ac:dyDescent="0.35">
      <c r="A4" t="s">
        <v>77</v>
      </c>
      <c r="B4" t="s">
        <v>78</v>
      </c>
      <c r="C4" t="s">
        <v>66</v>
      </c>
      <c r="D4">
        <v>420</v>
      </c>
      <c r="E4" t="s">
        <v>67</v>
      </c>
      <c r="F4" t="s">
        <v>68</v>
      </c>
      <c r="G4" t="s">
        <v>20</v>
      </c>
      <c r="H4" t="s">
        <v>79</v>
      </c>
      <c r="I4">
        <v>1249.99</v>
      </c>
      <c r="J4" t="s">
        <v>70</v>
      </c>
      <c r="K4" t="s">
        <v>71</v>
      </c>
      <c r="L4" t="s">
        <v>72</v>
      </c>
      <c r="M4">
        <v>0</v>
      </c>
      <c r="N4" t="s">
        <v>73</v>
      </c>
      <c r="O4">
        <v>3</v>
      </c>
      <c r="P4" t="s">
        <v>72</v>
      </c>
      <c r="Q4" t="s">
        <v>73</v>
      </c>
      <c r="R4" t="s">
        <v>80</v>
      </c>
    </row>
    <row r="5" spans="1:18" x14ac:dyDescent="0.35">
      <c r="A5" t="s">
        <v>81</v>
      </c>
      <c r="B5" t="s">
        <v>82</v>
      </c>
      <c r="C5" t="s">
        <v>83</v>
      </c>
      <c r="D5">
        <v>5</v>
      </c>
      <c r="E5" t="s">
        <v>84</v>
      </c>
      <c r="F5" t="s">
        <v>85</v>
      </c>
      <c r="G5" t="s">
        <v>33</v>
      </c>
      <c r="H5" t="s">
        <v>86</v>
      </c>
      <c r="I5">
        <v>499.99</v>
      </c>
      <c r="J5" t="s">
        <v>70</v>
      </c>
      <c r="K5" t="s">
        <v>71</v>
      </c>
      <c r="L5" t="s">
        <v>73</v>
      </c>
      <c r="M5">
        <v>12</v>
      </c>
      <c r="N5" t="s">
        <v>72</v>
      </c>
      <c r="O5">
        <v>6</v>
      </c>
      <c r="P5" t="s">
        <v>72</v>
      </c>
      <c r="Q5" t="s">
        <v>72</v>
      </c>
      <c r="R5" t="s">
        <v>80</v>
      </c>
    </row>
    <row r="6" spans="1:18" x14ac:dyDescent="0.35">
      <c r="A6" t="s">
        <v>87</v>
      </c>
      <c r="B6" t="s">
        <v>88</v>
      </c>
      <c r="C6" t="s">
        <v>83</v>
      </c>
      <c r="D6">
        <v>5</v>
      </c>
      <c r="E6" t="s">
        <v>84</v>
      </c>
      <c r="F6" t="s">
        <v>85</v>
      </c>
      <c r="G6" t="s">
        <v>33</v>
      </c>
      <c r="H6" t="s">
        <v>86</v>
      </c>
      <c r="I6">
        <v>499.99</v>
      </c>
      <c r="J6" t="s">
        <v>70</v>
      </c>
      <c r="K6" t="s">
        <v>71</v>
      </c>
      <c r="L6" t="s">
        <v>73</v>
      </c>
      <c r="M6">
        <v>12</v>
      </c>
      <c r="N6" t="s">
        <v>72</v>
      </c>
      <c r="O6">
        <v>7</v>
      </c>
      <c r="P6" t="s">
        <v>72</v>
      </c>
      <c r="Q6" t="s">
        <v>72</v>
      </c>
      <c r="R6" t="s">
        <v>80</v>
      </c>
    </row>
    <row r="7" spans="1:18" x14ac:dyDescent="0.35">
      <c r="A7" t="s">
        <v>89</v>
      </c>
      <c r="B7" t="s">
        <v>90</v>
      </c>
      <c r="C7" t="s">
        <v>91</v>
      </c>
      <c r="D7">
        <v>60</v>
      </c>
      <c r="E7" t="s">
        <v>92</v>
      </c>
      <c r="F7" t="s">
        <v>93</v>
      </c>
      <c r="G7" t="s">
        <v>20</v>
      </c>
      <c r="H7" t="s">
        <v>94</v>
      </c>
      <c r="I7">
        <v>14.99</v>
      </c>
      <c r="J7" t="s">
        <v>95</v>
      </c>
      <c r="K7" t="s">
        <v>71</v>
      </c>
      <c r="L7" t="s">
        <v>73</v>
      </c>
      <c r="M7">
        <v>4</v>
      </c>
      <c r="N7" t="s">
        <v>73</v>
      </c>
      <c r="O7">
        <v>1</v>
      </c>
      <c r="P7" t="s">
        <v>73</v>
      </c>
      <c r="Q7" t="s">
        <v>73</v>
      </c>
      <c r="R7" t="s">
        <v>74</v>
      </c>
    </row>
    <row r="8" spans="1:18" x14ac:dyDescent="0.35">
      <c r="A8" t="s">
        <v>96</v>
      </c>
      <c r="B8" t="s">
        <v>97</v>
      </c>
      <c r="C8" t="s">
        <v>98</v>
      </c>
      <c r="D8">
        <v>300</v>
      </c>
      <c r="E8" t="s">
        <v>99</v>
      </c>
      <c r="F8" t="s">
        <v>100</v>
      </c>
      <c r="G8" t="s">
        <v>20</v>
      </c>
      <c r="H8" t="s">
        <v>101</v>
      </c>
      <c r="I8">
        <v>899</v>
      </c>
      <c r="J8" t="s">
        <v>70</v>
      </c>
      <c r="K8" t="s">
        <v>71</v>
      </c>
      <c r="L8" t="s">
        <v>73</v>
      </c>
      <c r="M8">
        <v>20</v>
      </c>
      <c r="N8" t="s">
        <v>73</v>
      </c>
      <c r="O8">
        <v>2</v>
      </c>
      <c r="P8" t="s">
        <v>73</v>
      </c>
      <c r="Q8" t="s">
        <v>73</v>
      </c>
      <c r="R8" t="s">
        <v>102</v>
      </c>
    </row>
    <row r="9" spans="1:18" x14ac:dyDescent="0.35">
      <c r="A9" t="s">
        <v>103</v>
      </c>
      <c r="B9" t="s">
        <v>104</v>
      </c>
      <c r="C9" t="s">
        <v>98</v>
      </c>
      <c r="D9">
        <v>300</v>
      </c>
      <c r="E9" t="s">
        <v>99</v>
      </c>
      <c r="F9" t="s">
        <v>100</v>
      </c>
      <c r="G9" t="s">
        <v>20</v>
      </c>
      <c r="H9" t="s">
        <v>101</v>
      </c>
      <c r="I9">
        <v>899</v>
      </c>
      <c r="J9" t="s">
        <v>70</v>
      </c>
      <c r="K9" t="s">
        <v>71</v>
      </c>
      <c r="L9" t="s">
        <v>73</v>
      </c>
      <c r="M9">
        <v>22</v>
      </c>
      <c r="N9" t="s">
        <v>73</v>
      </c>
      <c r="O9">
        <v>3</v>
      </c>
      <c r="P9" t="s">
        <v>73</v>
      </c>
      <c r="Q9" t="s">
        <v>73</v>
      </c>
      <c r="R9" t="s">
        <v>102</v>
      </c>
    </row>
    <row r="10" spans="1:18" x14ac:dyDescent="0.35">
      <c r="A10" t="s">
        <v>105</v>
      </c>
      <c r="B10" t="s">
        <v>106</v>
      </c>
      <c r="C10" t="s">
        <v>107</v>
      </c>
      <c r="D10">
        <v>900</v>
      </c>
      <c r="E10" t="s">
        <v>108</v>
      </c>
      <c r="F10" t="s">
        <v>109</v>
      </c>
      <c r="G10" t="s">
        <v>20</v>
      </c>
      <c r="H10" t="s">
        <v>110</v>
      </c>
      <c r="I10">
        <v>210.5</v>
      </c>
      <c r="J10" t="s">
        <v>70</v>
      </c>
      <c r="K10" t="s">
        <v>111</v>
      </c>
      <c r="L10" t="s">
        <v>73</v>
      </c>
      <c r="M10">
        <v>0</v>
      </c>
      <c r="N10" t="s">
        <v>73</v>
      </c>
      <c r="O10">
        <v>1</v>
      </c>
      <c r="P10" t="s">
        <v>73</v>
      </c>
      <c r="Q10" t="s">
        <v>73</v>
      </c>
      <c r="R10" t="s">
        <v>74</v>
      </c>
    </row>
    <row r="11" spans="1:18" x14ac:dyDescent="0.35">
      <c r="A11" t="s">
        <v>112</v>
      </c>
      <c r="B11" t="s">
        <v>113</v>
      </c>
      <c r="C11" t="s">
        <v>107</v>
      </c>
      <c r="D11">
        <v>900</v>
      </c>
      <c r="E11" t="s">
        <v>108</v>
      </c>
      <c r="F11" t="s">
        <v>109</v>
      </c>
      <c r="G11" t="s">
        <v>20</v>
      </c>
      <c r="H11" t="s">
        <v>110</v>
      </c>
      <c r="I11">
        <v>210.5</v>
      </c>
      <c r="J11" t="s">
        <v>114</v>
      </c>
      <c r="K11" t="s">
        <v>111</v>
      </c>
      <c r="L11" t="s">
        <v>73</v>
      </c>
      <c r="M11">
        <v>0</v>
      </c>
      <c r="N11" t="s">
        <v>73</v>
      </c>
      <c r="O11">
        <v>2</v>
      </c>
      <c r="P11" t="s">
        <v>73</v>
      </c>
      <c r="Q11" t="s">
        <v>73</v>
      </c>
      <c r="R11" t="s">
        <v>74</v>
      </c>
    </row>
    <row r="12" spans="1:18" x14ac:dyDescent="0.35">
      <c r="A12" t="s">
        <v>115</v>
      </c>
      <c r="B12" t="s">
        <v>116</v>
      </c>
      <c r="C12" t="s">
        <v>117</v>
      </c>
      <c r="D12">
        <v>2</v>
      </c>
      <c r="E12" t="s">
        <v>118</v>
      </c>
      <c r="F12" t="s">
        <v>119</v>
      </c>
      <c r="G12" t="s">
        <v>120</v>
      </c>
      <c r="H12" t="s">
        <v>121</v>
      </c>
      <c r="I12">
        <v>999.99</v>
      </c>
      <c r="J12" t="s">
        <v>70</v>
      </c>
      <c r="K12" t="s">
        <v>71</v>
      </c>
      <c r="L12" t="s">
        <v>73</v>
      </c>
      <c r="M12">
        <v>8</v>
      </c>
      <c r="N12" t="s">
        <v>72</v>
      </c>
      <c r="O12">
        <v>5</v>
      </c>
      <c r="P12" t="s">
        <v>72</v>
      </c>
      <c r="Q12" t="s">
        <v>72</v>
      </c>
      <c r="R12" t="s">
        <v>80</v>
      </c>
    </row>
    <row r="13" spans="1:18" x14ac:dyDescent="0.35">
      <c r="A13" t="s">
        <v>122</v>
      </c>
      <c r="B13" t="s">
        <v>123</v>
      </c>
      <c r="C13" t="s">
        <v>117</v>
      </c>
      <c r="D13">
        <v>2</v>
      </c>
      <c r="E13" t="s">
        <v>118</v>
      </c>
      <c r="F13" t="s">
        <v>119</v>
      </c>
      <c r="G13" t="s">
        <v>120</v>
      </c>
      <c r="H13" t="s">
        <v>121</v>
      </c>
      <c r="I13">
        <v>999.99</v>
      </c>
      <c r="J13" t="s">
        <v>70</v>
      </c>
      <c r="K13" t="s">
        <v>71</v>
      </c>
      <c r="L13" t="s">
        <v>73</v>
      </c>
      <c r="M13">
        <v>10</v>
      </c>
      <c r="N13" t="s">
        <v>72</v>
      </c>
      <c r="O13">
        <v>6</v>
      </c>
      <c r="P13" t="s">
        <v>72</v>
      </c>
      <c r="Q13" t="s">
        <v>72</v>
      </c>
      <c r="R13" t="s">
        <v>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Raw_Data</vt:lpstr>
      <vt:lpstr>Excel_Solution</vt:lpstr>
      <vt:lpstr>Fraud_Only_Data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Shani Ely</cp:lastModifiedBy>
  <dcterms:created xsi:type="dcterms:W3CDTF">2026-02-03T03:23:17Z</dcterms:created>
  <dcterms:modified xsi:type="dcterms:W3CDTF">2026-02-17T04:09:45Z</dcterms:modified>
</cp:coreProperties>
</file>